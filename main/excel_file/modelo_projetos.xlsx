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darley.coelho\Desktop\Orçamento 2026\"/>
    </mc:Choice>
  </mc:AlternateContent>
  <xr:revisionPtr revIDLastSave="8" documentId="13_ncr:1_{1FD506CF-44F3-4EBA-BB4A-37B239CD9FD1}" xr6:coauthVersionLast="47" xr6:coauthVersionMax="47" xr10:uidLastSave="{AC1DE602-D82E-4F59-9650-8F94FEB79B17}"/>
  <bookViews>
    <workbookView xWindow="-120" yWindow="-120" windowWidth="29040" windowHeight="15720" tabRatio="397" firstSheet="2" activeTab="2" xr2:uid="{00000000-000D-0000-FFFF-FFFF00000000}"/>
  </bookViews>
  <sheets>
    <sheet name="Projetos" sheetId="17" r:id="rId1"/>
    <sheet name="Planilha1" sheetId="12" state="hidden" r:id="rId2"/>
    <sheet name="Orçamento" sheetId="15" r:id="rId3"/>
    <sheet name="Planilha2" sheetId="13" r:id="rId4"/>
    <sheet name="Centro de Custo" sheetId="14" state="hidden" r:id="rId5"/>
    <sheet name="Conta Contábil" sheetId="3" state="hidden" r:id="rId6"/>
  </sheets>
  <definedNames>
    <definedName name="_xlnm._FilterDatabase" localSheetId="4" hidden="1">'Centro de Custo'!$A$1:$A$150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5" l="1"/>
  <c r="N32" i="15"/>
  <c r="M32" i="15"/>
  <c r="L32" i="15"/>
  <c r="K32" i="15"/>
  <c r="J32" i="15"/>
  <c r="I32" i="15"/>
  <c r="H32" i="15"/>
  <c r="G32" i="15"/>
  <c r="F32" i="15"/>
  <c r="E32" i="15"/>
  <c r="D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2" i="15" l="1"/>
</calcChain>
</file>

<file path=xl/sharedStrings.xml><?xml version="1.0" encoding="utf-8"?>
<sst xmlns="http://schemas.openxmlformats.org/spreadsheetml/2006/main" count="266" uniqueCount="263">
  <si>
    <t>PLANEJAMENTO UNICATÓLICA 2026 - PROPOSTA DE PROJETOS/ATIVIDADES</t>
  </si>
  <si>
    <t xml:space="preserve">Gestor Responsável: </t>
  </si>
  <si>
    <t xml:space="preserve">Setor: </t>
  </si>
  <si>
    <t>↓↓ Preenchimento pelo Gestor do Projeto ↓↓</t>
  </si>
  <si>
    <t>Gestor Aprovador</t>
  </si>
  <si>
    <t>Nome do Projeto/Atividade</t>
  </si>
  <si>
    <t>Objetivo / Justificativa</t>
  </si>
  <si>
    <t>É recorrente?</t>
  </si>
  <si>
    <t>Obrigação Legal?</t>
  </si>
  <si>
    <t>Valor Estimado do Projeto</t>
  </si>
  <si>
    <t>Observação</t>
  </si>
  <si>
    <t>Status</t>
  </si>
  <si>
    <t>Sim</t>
  </si>
  <si>
    <t>Aprovado</t>
  </si>
  <si>
    <t>Não</t>
  </si>
  <si>
    <t>Reprovado</t>
  </si>
  <si>
    <t>Ajustes</t>
  </si>
  <si>
    <t>PROPOSTA DE PROJETOS - PLANEJAMENTO UNICATÓLICA 2026</t>
  </si>
  <si>
    <t>Informe aqui o Centro de Custo</t>
  </si>
  <si>
    <t>Projeto / Atividade</t>
  </si>
  <si>
    <t>Tipo de Despesa</t>
  </si>
  <si>
    <t>Conta Contábil (para DGA)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</si>
  <si>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</si>
  <si>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</si>
  <si>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</si>
  <si>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</si>
  <si>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</si>
  <si>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</si>
  <si>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</si>
  <si>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</si>
  <si>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</si>
  <si>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</si>
  <si>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</si>
  <si>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</si>
  <si>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Total</t>
  </si>
  <si>
    <t>DGA'S</t>
  </si>
  <si>
    <t>Investimento</t>
  </si>
  <si>
    <t>0.02.1.0.01 - REITORIA</t>
  </si>
  <si>
    <t>0.02.1.0.02 - CM TO</t>
  </si>
  <si>
    <t>0.02.1.0.03 - NIT - NÚCLEO DE INOVAÇÃO TECNOLÓGICA</t>
  </si>
  <si>
    <t>0.02.1.0.04 - CDE - Centro de Desenvolvimento Educacional</t>
  </si>
  <si>
    <t>0.02.1.0.05 - Comissão de Ética</t>
  </si>
  <si>
    <t>0.02.1.0.06 - INTERNACIONALIZAÇÃO</t>
  </si>
  <si>
    <t>0.02.1.0.07 - NAP - NÚCLEO DE APOIO PSICOPEDAGOGICO</t>
  </si>
  <si>
    <t>0.02.1.0.08 - NIP - Núcleo de Inclusão e Pluralidade</t>
  </si>
  <si>
    <t>0.02.1.0.09 - Unidade de Planejamento e Desenvolviment</t>
  </si>
  <si>
    <t>0.02.1.0.10 - GESTÃO DE PESSOAS</t>
  </si>
  <si>
    <t>0.02.1.1.01 - PRÓ REITORIA ACADÊMICA</t>
  </si>
  <si>
    <t>0.02.1.1.02 - NADIME</t>
  </si>
  <si>
    <t>0.02.1.1.03 - CEPEX - Centro de Pesquisa e Extensão</t>
  </si>
  <si>
    <t>0.02.1.1.04 - Secretaria da Coordenação</t>
  </si>
  <si>
    <t>0.02.1.1.05 - Coordenação do Centro Superior de Negócios</t>
  </si>
  <si>
    <t>0.02.1.1.06 - Coord. Centro Superior de Ciências Sociais e Aplic</t>
  </si>
  <si>
    <t>0.02.1.1.07 - Coordenação Centro Superior Politécnico</t>
  </si>
  <si>
    <t>0.02.1.1.08 - Coord. Centro Sup. de Ciências Agrárias e Ambienta</t>
  </si>
  <si>
    <t>0.02.1.1.09 - Central de Estágios</t>
  </si>
  <si>
    <t>0.02.1.1.10 - Polo EAD - FACTO</t>
  </si>
  <si>
    <t>0.02.1.1.11 - Receitas Parceria EAD</t>
  </si>
  <si>
    <t>0.02.1.1.12 - Núcleo de Preceptoria</t>
  </si>
  <si>
    <t>0.02.1.2.01 - Secretaria</t>
  </si>
  <si>
    <t>0.02.1.2.02 - Secretaria Campus II</t>
  </si>
  <si>
    <t>0.02.1.3.01 - Pastoral</t>
  </si>
  <si>
    <t>0.02.1.5.01 - Biblioteca</t>
  </si>
  <si>
    <t>0.02.1.5.02 - Biblioteca Campus II</t>
  </si>
  <si>
    <t>0.02.1.5.03 - NPJ - Núcleo de Práticas Jurídicas</t>
  </si>
  <si>
    <t>0.02.1.6.01 - Clinica Veterinária</t>
  </si>
  <si>
    <t>0.02.2.2.01 - Administração</t>
  </si>
  <si>
    <t>0.02.2.2.03 - Ciências Contábeis</t>
  </si>
  <si>
    <t>0.02.2.2.05 - Direito</t>
  </si>
  <si>
    <t>0.02.2.2.07 - Agronomia</t>
  </si>
  <si>
    <t>0.02.2.2.09 - Zootecnia</t>
  </si>
  <si>
    <t>0.02.2.2.13 - ENGENHARIA ELÉTRICA</t>
  </si>
  <si>
    <t>0.02.2.2.14 - Engenharia de Produção</t>
  </si>
  <si>
    <t>0.02.2.2.15 - ENG. AMBIENTAL</t>
  </si>
  <si>
    <t>0.02.2.2.16 - Engenharia Civil</t>
  </si>
  <si>
    <t>0.02.2.2.18 - Medicina veterinária</t>
  </si>
  <si>
    <t>0.02.2.2.19 - Arquitetura e Urbanismo</t>
  </si>
  <si>
    <t>0.02.2.2.23 - Engenharia de Software</t>
  </si>
  <si>
    <t>0.02.2.2.24 - Enfermagem</t>
  </si>
  <si>
    <t>0.02.2.2.25 - Psicologia</t>
  </si>
  <si>
    <t>0.02.2.4.01 - Laboratório de Informática</t>
  </si>
  <si>
    <t>0.02.2.4.02 - Laboratório de Informática Campus II</t>
  </si>
  <si>
    <t>0.02.2.4.03 - Audiovisual I</t>
  </si>
  <si>
    <t>0.02.2.4.04 - Audiovisual II</t>
  </si>
  <si>
    <t>0.02.2.5.01 - Coordenação de Laboratórios</t>
  </si>
  <si>
    <t>0.02.2.5.02 - Laboratório de Química e Bioquímica</t>
  </si>
  <si>
    <t>0.02.2.5.03 - Laboratório de Física e Biofísica</t>
  </si>
  <si>
    <t>0.02.2.5.04 - Laboratório de Imunologia e Microbiologia</t>
  </si>
  <si>
    <t>0.02.2.5.05 - Laboratório de Anatomia Animal</t>
  </si>
  <si>
    <t>0.02.2.5.06 - Laboratório de Histologia</t>
  </si>
  <si>
    <t>0.02.2.5.07 - Laboratório de Microscopia</t>
  </si>
  <si>
    <t>0.02.2.5.08 - Laboratório de Esterelização e Água</t>
  </si>
  <si>
    <t>0.02.2.5.09 - Laboratório de Solos</t>
  </si>
  <si>
    <t>0.02.2.5.10 - LABORATORIO DE ENTOMOLOGIA</t>
  </si>
  <si>
    <t>0.02.2.5.11 - LABORATORIO DE NEMATOLOGIA</t>
  </si>
  <si>
    <t>0.02.2.5.12 - LABORATORIO DE FITOPATOLOGIA</t>
  </si>
  <si>
    <t>0.02.2.5.13 - LABORATORIO DE BROMATOLOGIA</t>
  </si>
  <si>
    <t>0.02.2.5.14 - LABORATORIO DE SEMENTES</t>
  </si>
  <si>
    <t>0.02.2.5.15 - LABORATORIO DE MOROFOLOGIA VEGETAL</t>
  </si>
  <si>
    <t>0.02.2.5.16 - DEPOSITO DE REAGENTES</t>
  </si>
  <si>
    <t>0.02.2.5.17 - DEPOSITO DE RESIDUOS QUIMICOS</t>
  </si>
  <si>
    <t>0.02.2.5.18 - BANCO DE SEMENTES</t>
  </si>
  <si>
    <t>0.02.3.3.01 - Gestão do Terceiro Setor</t>
  </si>
  <si>
    <t>0.02.3.3.02 - ESPERE</t>
  </si>
  <si>
    <t>0.02.3.3.03 - Gestão Urbana e Práticas na Cidade</t>
  </si>
  <si>
    <t>0.02.3.3.04 - Planejamento em Gestão Hospitalar</t>
  </si>
  <si>
    <t>0.02.3.3.05 - Orientação Educacional</t>
  </si>
  <si>
    <t>0.02.3.3.06 - Gestão de Recursos Humanos</t>
  </si>
  <si>
    <t>0.02.3.3.07 - Gestão de Serviços Sociais</t>
  </si>
  <si>
    <t>0.02.3.3.08 - Docência Universitária</t>
  </si>
  <si>
    <t>0.02.3.3.09 - Direito Ambienta</t>
  </si>
  <si>
    <t>0.02.3.3.10 - Direito Civil e Processo Civil</t>
  </si>
  <si>
    <t>0.02.3.3.11 - Direito Penal e Processo Penal</t>
  </si>
  <si>
    <t>0.02.3.3.12 - MBA EM GESTÃO DE PESSOAS</t>
  </si>
  <si>
    <t>0.02.3.3.13 - MBA Comunicação e Marketing</t>
  </si>
  <si>
    <t>0.02.3.3.14 - ENGENHARIA DE SANEAMENTO BÁSICO E AMB.</t>
  </si>
  <si>
    <t>0.02.3.3.15 - MBA Planejam Tribut: Gestão de Finanças</t>
  </si>
  <si>
    <t>0.02.3.3.16 - CLÍNICA E CIRURGIA DE PEQUENOS ANIMAIS</t>
  </si>
  <si>
    <t>0.02.3.3.17 - GESTÃO AMBIENTAL</t>
  </si>
  <si>
    <t>0.02.3.3.18 - Direito Processual Civil</t>
  </si>
  <si>
    <t>0.02.3.3.19 - Lato Sensu em Agricultura de Baixa Emissão de Carb</t>
  </si>
  <si>
    <t>0.02.3.3.20 - Lato Sensu em Perícia Digital</t>
  </si>
  <si>
    <t>0.02.3.3.21 - MBA em Planejamento e Gestão Empresarial</t>
  </si>
  <si>
    <t>0.02.3.3.22 - Lato Sensu em Dispositivos Moveis</t>
  </si>
  <si>
    <t>0.02.3.3.23 - Lato Sensu em Engenharia de Segurança do Trabalho</t>
  </si>
  <si>
    <t>0.02.3.3.24 - Sistemas de produção na Agropecuária</t>
  </si>
  <si>
    <t>0.02.3.3.25 - MBE em Logistica e Gestão da Cadeia de Suprimentos</t>
  </si>
  <si>
    <t>0.02.3.3.26 - Latu Sensu em Direito Público</t>
  </si>
  <si>
    <t>0.02.3.3.27 - Programa de Aprimoramento Profissional</t>
  </si>
  <si>
    <t>0.02.3.3.28 - Engenharia de Segurança do Trabalho</t>
  </si>
  <si>
    <t>0.02.3.3.29 - Processo Educativos Inovadores</t>
  </si>
  <si>
    <t>0.02.3.3.30 - Manejo de Solos Tropicais</t>
  </si>
  <si>
    <t>0.02.3.3.31 - Agronegócio 4.0</t>
  </si>
  <si>
    <t>0.02.3.3.32 - Psicultura e Desenvolvimento Sustentável</t>
  </si>
  <si>
    <t>0.02.3.3.33 - Produção Intensiva de Bovinos de corte</t>
  </si>
  <si>
    <t>0.02.3.3.34 - Engenharia Clínica</t>
  </si>
  <si>
    <t>0.02.3.3.35 - Compliace, Auditoria e Perícia</t>
  </si>
  <si>
    <t>0.02.3.3.36 - Desenv de Software para Disp Móveis</t>
  </si>
  <si>
    <t>0.02.3.3.37 - Psicanálise</t>
  </si>
  <si>
    <t>0.02.3.3.38 - Cuidados Paliativos do Adulto e Manejo da Dor</t>
  </si>
  <si>
    <t>0.02.3.3.39 - Práticas Integrativas na Saúde</t>
  </si>
  <si>
    <t>0.02.3.3.40 - Direito Público e Gestão Pública</t>
  </si>
  <si>
    <t>0.02.3.3.41 - Direito Civil e Processual Civil</t>
  </si>
  <si>
    <t>0.02.3.3.42 - Ciência, Tecnologia e Inovação</t>
  </si>
  <si>
    <t>0.02.3.3.43 - Direito Digital e Proteção de Dados</t>
  </si>
  <si>
    <t>0.02.4.1.01 - Vice Diretoria de Extensão</t>
  </si>
  <si>
    <t>0.02.4.1.02 - Pastoralidade</t>
  </si>
  <si>
    <t>0.02.4.1.03 - SAE - Serviço de Apoio ao Estudante</t>
  </si>
  <si>
    <t>0.02.4.1.04 - Ouvidoria</t>
  </si>
  <si>
    <t>0.02.4.4.01 - Programas de Extensão</t>
  </si>
  <si>
    <t>0.02.4.5.01 - Programas Assistenciais</t>
  </si>
  <si>
    <t>0.02.4.5.02 - Programas Assistenciais Campus II</t>
  </si>
  <si>
    <t>0.02.4.6.01 - Projeto de Mãos Dadas - Sta Barbara</t>
  </si>
  <si>
    <t>0.02.4.6.02 - FINANCIAMENTOS</t>
  </si>
  <si>
    <t>0.02.4.7.01 - Projeto Circuito Católica</t>
  </si>
  <si>
    <t>0.02.5.0.01 - PRO REITORIA DE ADMINISTRAÇÃO</t>
  </si>
  <si>
    <t>0.02.5.1.01 - TI - Tecnologia da Informação</t>
  </si>
  <si>
    <t>0.02.5.1.02 - Processos, Riscos e Controle Interno</t>
  </si>
  <si>
    <t>0.02.5.2.01 - COORDENAÇÃO ADMINISTRATIVA</t>
  </si>
  <si>
    <t>0.02.5.2.02 - Setor de Contas a Pagar</t>
  </si>
  <si>
    <t>0.02.5.2.03 - Tesouraria</t>
  </si>
  <si>
    <t>0.02.5.3.01 - Administração de Pessoal</t>
  </si>
  <si>
    <t>0.02.5.3.02 - Remunerações</t>
  </si>
  <si>
    <t>0.02.5.3.03 - Autônomos</t>
  </si>
  <si>
    <t>0.02.5.4.01 - ALMOXARIFADO/PATRIMÔNIO</t>
  </si>
  <si>
    <t>0.02.5.5.01 - TELEFONIA</t>
  </si>
  <si>
    <t>0.02.5.6.01 - Central de Atendimento</t>
  </si>
  <si>
    <t>0.02.5.7.01 - Comercial - UniCatólica</t>
  </si>
  <si>
    <t>0.02.6.0.01 - Obras-Facto</t>
  </si>
  <si>
    <t>0.02.6.0.03 - Usina Fotovoltaica Campus 1</t>
  </si>
  <si>
    <t>0.02.6.0.04 - Usina Fotovoltaica Campus 2</t>
  </si>
  <si>
    <t>0.02.6.0.05 - Regularização Obras para Funcionamento da UMS</t>
  </si>
  <si>
    <t>0.02.7.0.01 - Centro de Apoio</t>
  </si>
  <si>
    <t>0.02.7.0.02 - Centro de Apoio Campus II</t>
  </si>
  <si>
    <t>0.02.7.0.03 - MANUTENÇÃO I</t>
  </si>
  <si>
    <t>0.02.7.0.04 - MANUTENÇÃO II</t>
  </si>
  <si>
    <t>0.02.7.0.05 - SERVIÇOS GERAIS I</t>
  </si>
  <si>
    <t>0.02.7.0.06 - SERVIÇOS GERAIS II</t>
  </si>
  <si>
    <t>0.02.7.0.07 - BENEFÍCIOS RH</t>
  </si>
  <si>
    <t>0.02.7.0.08 - PAS - Campus I Facto - Tocantins</t>
  </si>
  <si>
    <t>0.02.7.0.09 - PAS - Campus II Facto - Tocantins</t>
  </si>
  <si>
    <t>0.02.7.0.10 - PCB - FACTO</t>
  </si>
  <si>
    <t>0.02.7.0.11 - Gerência de TI</t>
  </si>
  <si>
    <t>0.02.7.0.12 - TRANSPORTE</t>
  </si>
  <si>
    <t>0.02.7.0.13 - VIGILÂNCIA</t>
  </si>
  <si>
    <t>0.02.7.0.14 - COORDENAÇÃO INFRAESTRUTURA</t>
  </si>
  <si>
    <t>0.02.7.0.15 - SERVIÇOS AGROPECUARIOS</t>
  </si>
  <si>
    <t>0.02.8.0.01 - Vice-Diretoria Planejamento e Desenvolvimento</t>
  </si>
  <si>
    <t>0.02.8.0.02 - CPA</t>
  </si>
  <si>
    <t>0.02.8.0.04 - Coordenadoria de Convênios</t>
  </si>
  <si>
    <t>0.02.9.0.02 - Investimentos Custeados pela Mantenedora - FACTO F</t>
  </si>
  <si>
    <t>0.02.9.0.03 - Invest custeados Mantenedora-Campus II FACTO Clíni</t>
  </si>
  <si>
    <t>0.02.9.0.04 - Invest. Custeados Mant. - Acessibilidade</t>
  </si>
  <si>
    <t>0.02.9.0.05 - Despesas custeadas pela Mantenedora</t>
  </si>
  <si>
    <t>5.1.1.1.05.01 - Treinamento Pessoal - Administrativo</t>
  </si>
  <si>
    <t>5.1.1.1.05.04 - Participação em Congressos e Seminários</t>
  </si>
  <si>
    <t>5.1.1.2.05.02 - Treinamento Pessoal Docente</t>
  </si>
  <si>
    <t>5.1.1.2.05.04 - Participação em Congressos e Seminários</t>
  </si>
  <si>
    <t>5.1.2.1.01.01 - Limpeza e Higiene</t>
  </si>
  <si>
    <t>5.1.2.1.01.02 - Copa e Alimentos</t>
  </si>
  <si>
    <t>5.1.2.1.01.03 - Fármacos / Hospital</t>
  </si>
  <si>
    <t>5.1.2.1.01.04 - Material Informática</t>
  </si>
  <si>
    <t>5.1.2.1.01.05 - Material de Escritório</t>
  </si>
  <si>
    <t>5.1.2.1.01.07 - Vestuário / Confecções</t>
  </si>
  <si>
    <t>5.1.2.1.01.10 - Material Esportivo</t>
  </si>
  <si>
    <t>5.1.2.1.01.11 - Material Didático/Material Laboratório</t>
  </si>
  <si>
    <t>5.1.2.1.01.12 - Reagentes Químicos</t>
  </si>
  <si>
    <t>5.1.2.1.01.13 - Equipamentos Proteção e Segurança - EPS</t>
  </si>
  <si>
    <t>5.1.2.1.01.14 - Artigos Religiosos</t>
  </si>
  <si>
    <t>5.1.2.1.01.15 - Móveis/Utensílios/Sinalização</t>
  </si>
  <si>
    <t>5.1.2.1.01.17 - Livros Jornais e Revistas</t>
  </si>
  <si>
    <t>5.1.2.1.01.18 - Material de Decoração e Utensílios</t>
  </si>
  <si>
    <t>5.1.2.1.02.01 - Programas apoio aluno bolsista– Uniforme</t>
  </si>
  <si>
    <t>5.1.2.2.01.02 - Rações/Outros Insumos</t>
  </si>
  <si>
    <t>5.1.2.2.01.03 - Vacinas/Medicamentos</t>
  </si>
  <si>
    <t>5.1.2.2.02.01 - Sementes</t>
  </si>
  <si>
    <t>5.1.2.2.02.02 - Mudas</t>
  </si>
  <si>
    <t>5.1.2.2.02.03 - Adubos e Fertilizantes</t>
  </si>
  <si>
    <t>5.1.2.2.02.04 - Inseticidas e Formicidas</t>
  </si>
  <si>
    <t>5.1.2.3.01.02 - Consultoria / Auditoria / Assessoria</t>
  </si>
  <si>
    <t>5.1.2.3.01.03 - Honorários  Advocatícios</t>
  </si>
  <si>
    <t>5.1.2.3.01.04 - Serviço de Lavanderia</t>
  </si>
  <si>
    <t>5.1.2.3.01.06 - Seguros</t>
  </si>
  <si>
    <t>5.1.2.3.01.07 - Serviços Fotográficos/Filmagens</t>
  </si>
  <si>
    <t>5.1.2.3.01.08 - Serviços de Aprendizagem - Estagiários</t>
  </si>
  <si>
    <t>5.1.2.3.01.09 - Serviço de Conservação Limpeza</t>
  </si>
  <si>
    <t>5.1.2.3.01.10 - Segurança e Vigilância</t>
  </si>
  <si>
    <t>5.1.2.3.01.12 - Serviços/Manutenção de Software/Informat</t>
  </si>
  <si>
    <t>5.1.2.3.01.14 - Serviços de Engenharia</t>
  </si>
  <si>
    <t>5.1.2.3.01.15 - Serviços Médicos Hospitalares</t>
  </si>
  <si>
    <t>5.1.2.3.01.16 - Lanches e Refeições</t>
  </si>
  <si>
    <t>5.1.2.3.01.17 - Palestras/Conferências/Ministração Aulas</t>
  </si>
  <si>
    <t>5.1.2.3.01.18 - Aluguéis/Condomínios</t>
  </si>
  <si>
    <t>5.1.2.3.01.19 - Serviços e Mat.Gráf./Audio Visu/Fotocop.</t>
  </si>
  <si>
    <t>5.1.2.3.01.23 - Produção/Publicação/Anuncio Livro Jornal</t>
  </si>
  <si>
    <t>5.1.2.3.01.25 - Serviço Administração de Estacionamento</t>
  </si>
  <si>
    <t>5.1.2.3.02.01 - Propaganda/Public</t>
  </si>
  <si>
    <t>5.1.2.3.02.03 - Promoções/Eventos/Brindes/Cortesias</t>
  </si>
  <si>
    <t>5.1.2.3.02.08 - Endomarketing</t>
  </si>
  <si>
    <t>5.1.2.3.03.01 - Manuten/Serv Edif. Instal.e Laboratórios</t>
  </si>
  <si>
    <t>5.1.2.3.03.02 - Manut Equip.Informática e Comunicação</t>
  </si>
  <si>
    <t xml:space="preserve">5.1.2.3.03.05 - Manut Máq/Equipamentos/Móveis </t>
  </si>
  <si>
    <t>5.1.2.3.03.07 - Jardinagem</t>
  </si>
  <si>
    <t>5.1.2.3.06.01 - Energia Elétrica</t>
  </si>
  <si>
    <t>5.1.2.3.06.02 - Água e Esgoto</t>
  </si>
  <si>
    <t>5.1.2.3.06.03 - Telecomunic/Internet/Biblioteca Virtual</t>
  </si>
  <si>
    <t>5.1.2.3.06.04 - Correio e Malote</t>
  </si>
  <si>
    <t>5.1.2.3.06.05 - Taxas/Alvarás/IPTU/TLP</t>
  </si>
  <si>
    <t>5.1.2.3.06.07 - Custas Processuais/Serviços Cartoriais</t>
  </si>
  <si>
    <t>5.1.2.3.08.01 - Diárias e Hospedagem/Estadias</t>
  </si>
  <si>
    <t>5.1.2.3.08.02 - Passagens</t>
  </si>
  <si>
    <t>5.1.2.3.08.04 - Transporte em Viagem</t>
  </si>
  <si>
    <t>5.1.2.3.09.01 - Combs/Lubrificantes</t>
  </si>
  <si>
    <t>5.1.2.3.09.02 - Manutenção de Veiculos</t>
  </si>
  <si>
    <t>5.1.2.3.09.04 - Fretes e Carretos</t>
  </si>
  <si>
    <t>5.1.2.3.09.05 - Estadias e Garagens</t>
  </si>
  <si>
    <t>5.1.2.3.09.07 - Despesas com Condução</t>
  </si>
  <si>
    <t>5.1.2.3.10.01 - Despesa Contrato/Convênio</t>
  </si>
  <si>
    <t>5.1.2.3.10.05 - Desp.Convênio Vida UTI Móvel</t>
  </si>
  <si>
    <t>5.1.2.3.11.02 - Contrib Associativas</t>
  </si>
  <si>
    <t>5.1.3.1.01.01 - Juros Passivos</t>
  </si>
  <si>
    <t>5.1.4.1.03.02 - Ressarcimento Danos Materiais Terceiros</t>
  </si>
  <si>
    <t>5.1.4.2.03.01 - ( - ) Alienação de Bens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</si>
</sst>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2" fillId="0" borderId="0" xfId="0" applyFont="1" applyAlignment="1">
      <alignment wrapText="1"/>
    </xf>
    <xf numFmtId="0" fontId="6" fillId="0" borderId="0" xfId="0" applyFont="1"/>
    <xf numFmtId="0" fontId="3" fillId="2" borderId="1" xfId="0" applyFont="1" applyFill="1" applyBorder="1" applyAlignment="1">
      <alignment horizontal="left"/>
    </xf>
    <xf numFmtId="0" fontId="8" fillId="0" borderId="0" xfId="0" applyFont="1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wrapText="1"/>
      <protection locked="0"/>
    </xf>
    <xf numFmtId="44" fontId="7" fillId="4" borderId="2" xfId="1" applyFont="1" applyFill="1" applyBorder="1" applyAlignment="1">
      <alignment vertical="center"/>
    </xf>
    <xf numFmtId="44" fontId="4" fillId="0" borderId="1" xfId="1" applyFont="1" applyBorder="1" applyAlignment="1">
      <alignment vertical="center"/>
    </xf>
    <xf numFmtId="0" fontId="10" fillId="3" borderId="0" xfId="0" applyFont="1" applyFill="1" applyAlignment="1">
      <alignment horizontal="centerContinuous" vertical="center" wrapText="1"/>
    </xf>
    <xf numFmtId="0" fontId="10" fillId="3" borderId="0" xfId="0" applyFont="1" applyFill="1" applyAlignment="1">
      <alignment horizontal="centerContinuous" vertical="center"/>
    </xf>
    <xf numFmtId="0" fontId="11" fillId="3" borderId="1" xfId="0" applyFont="1" applyFill="1" applyBorder="1"/>
    <xf numFmtId="0" fontId="9" fillId="4" borderId="8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17" fontId="7" fillId="4" borderId="9" xfId="0" applyNumberFormat="1" applyFont="1" applyFill="1" applyBorder="1" applyAlignment="1">
      <alignment horizontal="center" vertical="center"/>
    </xf>
    <xf numFmtId="17" fontId="7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4" fillId="0" borderId="1" xfId="1" quotePrefix="1" applyFont="1" applyBorder="1" applyAlignment="1">
      <alignment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44" fontId="13" fillId="4" borderId="10" xfId="1" applyFont="1" applyFill="1" applyBorder="1" applyAlignment="1">
      <alignment vertical="center"/>
    </xf>
    <xf numFmtId="44" fontId="7" fillId="4" borderId="5" xfId="1" applyFont="1" applyFill="1" applyBorder="1" applyAlignment="1">
      <alignment vertical="center"/>
    </xf>
    <xf numFmtId="0" fontId="10" fillId="3" borderId="0" xfId="0" applyFont="1" applyFill="1" applyAlignment="1" applyProtection="1">
      <alignment horizontal="centerContinuous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8" fontId="0" fillId="0" borderId="9" xfId="1" applyNumberFormat="1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11" fillId="5" borderId="1" xfId="0" applyFont="1" applyFill="1" applyBorder="1" applyAlignment="1" applyProtection="1">
      <alignment horizontal="centerContinuous" wrapText="1"/>
      <protection locked="0"/>
    </xf>
    <xf numFmtId="0" fontId="15" fillId="5" borderId="1" xfId="0" applyFont="1" applyFill="1" applyBorder="1" applyAlignment="1" applyProtection="1">
      <alignment horizontal="centerContinuous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centerContinuous" vertical="center"/>
      <protection locked="0"/>
    </xf>
    <xf numFmtId="0" fontId="14" fillId="3" borderId="1" xfId="0" applyFont="1" applyFill="1" applyBorder="1" applyAlignment="1" applyProtection="1">
      <alignment horizontal="centerContinuous" vertical="center"/>
      <protection locked="0"/>
    </xf>
    <xf numFmtId="0" fontId="16" fillId="7" borderId="1" xfId="0" applyFont="1" applyFill="1" applyBorder="1" applyAlignment="1" applyProtection="1">
      <alignment horizontal="left" vertical="center"/>
      <protection locked="0"/>
    </xf>
    <xf numFmtId="0" fontId="16" fillId="7" borderId="12" xfId="0" applyFont="1" applyFill="1" applyBorder="1" applyAlignment="1" applyProtection="1">
      <alignment horizontal="left" vertical="center"/>
      <protection locked="0"/>
    </xf>
    <xf numFmtId="0" fontId="16" fillId="7" borderId="11" xfId="0" applyFont="1" applyFill="1" applyBorder="1" applyAlignment="1" applyProtection="1">
      <alignment horizontal="centerContinuous" vertical="center"/>
      <protection locked="0"/>
    </xf>
    <xf numFmtId="0" fontId="16" fillId="7" borderId="13" xfId="0" applyFont="1" applyFill="1" applyBorder="1" applyAlignment="1" applyProtection="1">
      <alignment horizontal="centerContinuous" vertical="center"/>
      <protection locked="0"/>
    </xf>
    <xf numFmtId="0" fontId="17" fillId="6" borderId="1" xfId="0" applyFont="1" applyFill="1" applyBorder="1" applyAlignment="1">
      <alignment wrapText="1"/>
    </xf>
  </cellXfs>
  <cellStyles count="2">
    <cellStyle name="Moeda" xfId="1" builtinId="4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mmm/\y\y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66CC"/>
      <color rgb="FF0033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1A0182-A4A3-4F6C-8369-EF0BDFB579BE}" name="Tabela13" displayName="Tabela13" ref="A3:P32" totalsRowShown="0" headerRowDxfId="18" dataDxfId="17" tableBorderDxfId="16">
  <tableColumns count="16">
    <tableColumn id="1" xr3:uid="{EA4BA6C2-2184-4250-822E-0BB8F2F42B1E}" name="Projeto / Atividade" dataDxfId="15"/>
    <tableColumn id="2" xr3:uid="{17182F60-8228-459F-B235-4426084BF1DE}" name="Tipo de Despesa" dataDxfId="14"/>
    <tableColumn id="3" xr3:uid="{89BB33B0-D43E-44CE-A4D7-3294EE2B582A}" name="Conta Contábil (para DGA)" dataDxfId="13"/>
    <tableColumn id="4" xr3:uid="{97B22E4B-3EA1-4D7B-8D3E-ED61008CACAD}" name="jan/26" dataDxfId="12" dataCellStyle="Moeda"/>
    <tableColumn id="5" xr3:uid="{0A9F1092-3264-4024-B984-B6DA21DC3DBC}" name="fev/26" dataDxfId="11" dataCellStyle="Moeda"/>
    <tableColumn id="6" xr3:uid="{8D9F8BAB-D43B-4090-BDB4-CE25410DC7F1}" name="mar/26" dataDxfId="10" dataCellStyle="Moeda"/>
    <tableColumn id="7" xr3:uid="{896953E1-5C5B-49E9-9BDF-A6AF04C57D15}" name="abr/26" dataDxfId="9" dataCellStyle="Moeda"/>
    <tableColumn id="8" xr3:uid="{57DA6D7B-BBE2-4A68-BBB3-41B40AA8FBDB}" name="mai/26" dataDxfId="8" dataCellStyle="Moeda"/>
    <tableColumn id="9" xr3:uid="{042B3EBD-D621-40C1-8BE2-81D363D2B45C}" name="jun/26" dataDxfId="7" dataCellStyle="Moeda"/>
    <tableColumn id="10" xr3:uid="{C18CC729-A31A-4A06-AA51-2937799D62C3}" name="jul/26" dataDxfId="6" dataCellStyle="Moeda"/>
    <tableColumn id="11" xr3:uid="{FC9B2A6B-0E20-44F0-A980-DB20C50EBFA1}" name="ago/26" dataDxfId="5" dataCellStyle="Moeda"/>
    <tableColumn id="12" xr3:uid="{48BF4476-EA90-45EB-BA17-550393C82945}" name="set/26" dataDxfId="4" dataCellStyle="Moeda"/>
    <tableColumn id="13" xr3:uid="{A0F165E3-1288-4840-99BA-D2A319C4CF3F}" name="out/26" dataDxfId="3" dataCellStyle="Moeda"/>
    <tableColumn id="14" xr3:uid="{D52BBDF7-23F2-449B-945C-4243838D3D62}" name="nov/26" dataDxfId="2" dataCellStyle="Moeda"/>
    <tableColumn id="15" xr3:uid="{DFE6A652-E2A1-4447-B898-0B503C6B3328}" name="dez/26" dataDxfId="1" dataCellStyle="Moeda"/>
    <tableColumn id="16" xr3:uid="{76A20F44-B016-44BD-873D-CF750ECF5F2D}" name="Total" dataDxfId="0" dataCellStyle="Moeda">
      <calculatedColumnFormula>SUM(D4:O4)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35CE-9336-416E-939A-F7F622DCA130}">
  <dimension ref="A1:G34"/>
  <sheetViews>
    <sheetView showGridLines="0" zoomScaleNormal="100" workbookViewId="0">
      <selection activeCell="E5" sqref="E5"/>
    </sheetView>
  </sheetViews>
  <sheetFormatPr defaultColWidth="9.140625" defaultRowHeight="15"/>
  <cols>
    <col min="1" max="1" width="35" style="6" customWidth="1"/>
    <col min="2" max="2" width="44.7109375" style="6" customWidth="1"/>
    <col min="3" max="3" width="20.42578125" style="6" customWidth="1"/>
    <col min="4" max="4" width="22.42578125" style="6" customWidth="1"/>
    <col min="5" max="5" width="31.5703125" style="6" customWidth="1"/>
    <col min="6" max="6" width="23.42578125" style="6" customWidth="1"/>
    <col min="7" max="7" width="15.42578125" style="6" customWidth="1"/>
    <col min="8" max="16384" width="9.140625" style="6"/>
  </cols>
  <sheetData>
    <row r="1" spans="1:7" s="7" customFormat="1" ht="23.25">
      <c r="A1" s="25" t="s">
        <v>0</v>
      </c>
      <c r="B1" s="25"/>
      <c r="C1" s="25"/>
      <c r="D1" s="25"/>
      <c r="E1" s="25"/>
      <c r="F1" s="25"/>
      <c r="G1" s="25"/>
    </row>
    <row r="2" spans="1:7" ht="20.45" customHeight="1">
      <c r="A2" s="26" t="s">
        <v>1</v>
      </c>
      <c r="B2" s="41"/>
      <c r="C2" s="26" t="s">
        <v>2</v>
      </c>
      <c r="D2" s="42"/>
      <c r="E2" s="43"/>
      <c r="F2" s="43"/>
      <c r="G2" s="44"/>
    </row>
    <row r="3" spans="1:7" ht="22.35" customHeight="1">
      <c r="A3" s="39" t="s">
        <v>3</v>
      </c>
      <c r="B3" s="40"/>
      <c r="C3" s="40"/>
      <c r="D3" s="40"/>
      <c r="E3" s="40"/>
      <c r="F3" s="36" t="s">
        <v>4</v>
      </c>
      <c r="G3" s="37"/>
    </row>
    <row r="4" spans="1:7" ht="23.1" customHeight="1">
      <c r="A4" s="27" t="s">
        <v>5</v>
      </c>
      <c r="B4" s="28" t="s">
        <v>6</v>
      </c>
      <c r="C4" s="27" t="s">
        <v>7</v>
      </c>
      <c r="D4" s="27" t="s">
        <v>8</v>
      </c>
      <c r="E4" s="27" t="s">
        <v>9</v>
      </c>
      <c r="F4" s="38" t="s">
        <v>10</v>
      </c>
      <c r="G4" s="38" t="s">
        <v>11</v>
      </c>
    </row>
    <row r="5" spans="1:7">
      <c r="A5" s="29"/>
      <c r="B5" s="30"/>
      <c r="C5" s="31"/>
      <c r="D5" s="31"/>
      <c r="E5" s="32"/>
      <c r="F5" s="30"/>
      <c r="G5" s="30"/>
    </row>
    <row r="6" spans="1:7">
      <c r="A6" s="33"/>
      <c r="B6" s="35"/>
      <c r="C6" s="34"/>
      <c r="D6" s="34"/>
      <c r="E6" s="32"/>
      <c r="F6" s="35"/>
      <c r="G6" s="35"/>
    </row>
    <row r="7" spans="1:7">
      <c r="A7" s="33"/>
      <c r="B7" s="35"/>
      <c r="C7" s="34"/>
      <c r="D7" s="34"/>
      <c r="E7" s="32"/>
      <c r="F7" s="35"/>
      <c r="G7" s="35"/>
    </row>
    <row r="8" spans="1:7">
      <c r="A8" s="33"/>
      <c r="B8" s="35"/>
      <c r="C8" s="34"/>
      <c r="D8" s="34"/>
      <c r="E8" s="32"/>
      <c r="F8" s="35"/>
      <c r="G8" s="35"/>
    </row>
    <row r="9" spans="1:7" ht="18.75" customHeight="1">
      <c r="A9" s="33"/>
      <c r="B9" s="35"/>
      <c r="C9" s="34"/>
      <c r="D9" s="34"/>
      <c r="E9" s="32"/>
      <c r="F9" s="35"/>
      <c r="G9" s="35"/>
    </row>
    <row r="10" spans="1:7" ht="18.75" customHeight="1">
      <c r="A10" s="33"/>
      <c r="B10" s="35"/>
      <c r="C10" s="34"/>
      <c r="D10" s="34"/>
      <c r="E10" s="32"/>
      <c r="F10" s="35"/>
      <c r="G10" s="35"/>
    </row>
    <row r="11" spans="1:7" ht="18.75" customHeight="1">
      <c r="A11" s="33"/>
      <c r="B11" s="35"/>
      <c r="C11" s="34"/>
      <c r="D11" s="34"/>
      <c r="E11" s="32"/>
      <c r="F11" s="35"/>
      <c r="G11" s="35"/>
    </row>
    <row r="12" spans="1:7" ht="18.75" customHeight="1">
      <c r="A12" s="33"/>
      <c r="B12" s="35"/>
      <c r="C12" s="34"/>
      <c r="D12" s="34"/>
      <c r="E12" s="32"/>
      <c r="F12" s="35"/>
      <c r="G12" s="35"/>
    </row>
    <row r="13" spans="1:7" ht="18.75" customHeight="1">
      <c r="A13" s="33"/>
      <c r="B13" s="35"/>
      <c r="C13" s="34"/>
      <c r="D13" s="34"/>
      <c r="E13" s="32"/>
      <c r="F13" s="35"/>
      <c r="G13" s="35"/>
    </row>
    <row r="14" spans="1:7" ht="18.75" customHeight="1">
      <c r="A14" s="33"/>
      <c r="B14" s="35"/>
      <c r="C14" s="34"/>
      <c r="D14" s="34"/>
      <c r="E14" s="32"/>
      <c r="F14" s="35"/>
      <c r="G14" s="35"/>
    </row>
    <row r="15" spans="1:7" ht="18.75" customHeight="1">
      <c r="A15" s="33"/>
      <c r="B15" s="35"/>
      <c r="C15" s="34"/>
      <c r="D15" s="34"/>
      <c r="E15" s="32"/>
      <c r="F15" s="35"/>
      <c r="G15" s="35"/>
    </row>
    <row r="16" spans="1:7" ht="18.75" customHeight="1">
      <c r="A16" s="33"/>
      <c r="B16" s="35"/>
      <c r="C16" s="34"/>
      <c r="D16" s="34"/>
      <c r="E16" s="32"/>
      <c r="F16" s="35"/>
      <c r="G16" s="35"/>
    </row>
    <row r="17" spans="1:7" ht="18.75" customHeight="1">
      <c r="A17" s="33"/>
      <c r="B17" s="35"/>
      <c r="C17" s="34"/>
      <c r="D17" s="34"/>
      <c r="E17" s="32"/>
      <c r="F17" s="35"/>
      <c r="G17" s="35"/>
    </row>
    <row r="18" spans="1:7" ht="18.75" customHeight="1">
      <c r="A18" s="33"/>
      <c r="B18" s="35"/>
      <c r="C18" s="34"/>
      <c r="D18" s="34"/>
      <c r="E18" s="32"/>
      <c r="F18" s="35"/>
      <c r="G18" s="35"/>
    </row>
    <row r="19" spans="1:7" ht="18.75" customHeight="1">
      <c r="A19" s="33"/>
      <c r="B19" s="35"/>
      <c r="C19" s="34"/>
      <c r="D19" s="34"/>
      <c r="E19" s="32"/>
      <c r="F19" s="35"/>
      <c r="G19" s="35"/>
    </row>
    <row r="20" spans="1:7" ht="18.75" customHeight="1">
      <c r="A20" s="33"/>
      <c r="B20" s="35"/>
      <c r="C20" s="34"/>
      <c r="D20" s="34"/>
      <c r="E20" s="32"/>
      <c r="F20" s="35"/>
      <c r="G20" s="35"/>
    </row>
    <row r="21" spans="1:7" ht="18.75" customHeight="1">
      <c r="A21" s="33"/>
      <c r="B21" s="35"/>
      <c r="C21" s="34"/>
      <c r="D21" s="34"/>
      <c r="E21" s="32"/>
      <c r="F21" s="35"/>
      <c r="G21" s="35"/>
    </row>
    <row r="22" spans="1:7" ht="18.75" customHeight="1">
      <c r="A22" s="33"/>
      <c r="B22" s="35"/>
      <c r="C22" s="34"/>
      <c r="D22" s="34"/>
      <c r="E22" s="32"/>
      <c r="F22" s="35"/>
      <c r="G22" s="35"/>
    </row>
    <row r="23" spans="1:7" ht="18.75" customHeight="1">
      <c r="A23" s="33"/>
      <c r="B23" s="35"/>
      <c r="C23" s="34"/>
      <c r="D23" s="34"/>
      <c r="E23" s="32"/>
      <c r="F23" s="35"/>
      <c r="G23" s="35"/>
    </row>
    <row r="24" spans="1:7" ht="18.75" customHeight="1">
      <c r="A24" s="33"/>
      <c r="B24" s="35"/>
      <c r="C24" s="34"/>
      <c r="D24" s="34"/>
      <c r="E24" s="32"/>
      <c r="F24" s="35"/>
      <c r="G24" s="35"/>
    </row>
    <row r="25" spans="1:7" ht="18.75" customHeight="1">
      <c r="A25" s="33"/>
      <c r="B25" s="35"/>
      <c r="C25" s="34"/>
      <c r="D25" s="34"/>
      <c r="E25" s="32"/>
      <c r="F25" s="35"/>
      <c r="G25" s="35"/>
    </row>
    <row r="26" spans="1:7" ht="18.75" customHeight="1">
      <c r="A26" s="33"/>
      <c r="B26" s="35"/>
      <c r="C26" s="34"/>
      <c r="D26" s="34"/>
      <c r="E26" s="32"/>
      <c r="F26" s="35"/>
      <c r="G26" s="35"/>
    </row>
    <row r="27" spans="1:7" ht="18.75" customHeight="1">
      <c r="A27" s="33"/>
      <c r="B27" s="35"/>
      <c r="C27" s="34"/>
      <c r="D27" s="34"/>
      <c r="E27" s="32"/>
      <c r="F27" s="35"/>
      <c r="G27" s="35"/>
    </row>
    <row r="28" spans="1:7" ht="18.75" customHeight="1">
      <c r="A28" s="33"/>
      <c r="B28" s="35"/>
      <c r="C28" s="34"/>
      <c r="D28" s="34"/>
      <c r="E28" s="32"/>
      <c r="F28" s="35"/>
      <c r="G28" s="35"/>
    </row>
    <row r="29" spans="1:7" ht="18.75" customHeight="1">
      <c r="A29" s="33"/>
      <c r="B29" s="35"/>
      <c r="C29" s="34"/>
      <c r="D29" s="34"/>
      <c r="E29" s="32"/>
      <c r="F29" s="35"/>
      <c r="G29" s="35"/>
    </row>
    <row r="30" spans="1:7" ht="18.75" customHeight="1">
      <c r="A30" s="33"/>
      <c r="B30" s="35"/>
      <c r="C30" s="34"/>
      <c r="D30" s="34"/>
      <c r="E30" s="32"/>
      <c r="F30" s="35"/>
      <c r="G30" s="35"/>
    </row>
    <row r="31" spans="1:7" ht="18.75" customHeight="1">
      <c r="A31" s="33"/>
      <c r="B31" s="35"/>
      <c r="C31" s="34"/>
      <c r="D31" s="34"/>
      <c r="E31" s="32"/>
      <c r="F31" s="35"/>
      <c r="G31" s="35"/>
    </row>
    <row r="32" spans="1:7" ht="18.75" customHeight="1">
      <c r="A32" s="33"/>
      <c r="B32" s="35"/>
      <c r="C32" s="34"/>
      <c r="D32" s="34"/>
      <c r="E32" s="32"/>
      <c r="F32" s="35"/>
      <c r="G32" s="35"/>
    </row>
    <row r="33" spans="1:7" ht="18.75" customHeight="1">
      <c r="A33" s="33"/>
      <c r="B33" s="35"/>
      <c r="C33" s="34"/>
      <c r="D33" s="34"/>
      <c r="E33" s="32"/>
      <c r="F33" s="35"/>
      <c r="G33" s="35"/>
    </row>
    <row r="34" spans="1:7" ht="18.75" customHeight="1">
      <c r="A34" s="33"/>
      <c r="B34" s="35"/>
      <c r="C34" s="34"/>
      <c r="D34" s="34"/>
      <c r="E34" s="32"/>
      <c r="F34" s="35"/>
      <c r="G34" s="35"/>
    </row>
  </sheetData>
  <conditionalFormatting sqref="G5:G34">
    <cfRule type="containsText" dxfId="21" priority="2" operator="containsText" text="Reprovado">
      <formula>NOT(ISERROR(SEARCH("Reprovado",G5)))</formula>
    </cfRule>
    <cfRule type="containsText" dxfId="20" priority="3" operator="containsText" text="Aprovado">
      <formula>NOT(ISERROR(SEARCH("Aprovado",G5)))</formula>
    </cfRule>
  </conditionalFormatting>
  <conditionalFormatting sqref="G7:G34">
    <cfRule type="containsText" dxfId="19" priority="1" operator="containsText" text="Ajustes">
      <formula>NOT(ISERROR(SEARCH("Ajustes",G7)))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DB4024-213A-42E5-859E-94F3B5CA3668}">
          <x14:formula1>
            <xm:f>Planilha1!$C$1:$C$3</xm:f>
          </x14:formula1>
          <xm:sqref>G5:G34</xm:sqref>
        </x14:dataValidation>
        <x14:dataValidation type="list" allowBlank="1" showInputMessage="1" showErrorMessage="1" xr:uid="{B95C2041-F8FF-446C-A6D7-03053B89A745}">
          <x14:formula1>
            <xm:f>Planilha1!$A$1:$A$2</xm:f>
          </x14:formula1>
          <xm:sqref>C5:D34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D34" sqref="D34"/>
    </sheetView>
  </sheetViews>
  <sheetFormatPr defaultRowHeight="15"/>
  <cols>
    <col min="3" max="3" width="12.7109375" customWidth="1"/>
  </cols>
  <sheetData>
    <row r="1" spans="1:3">
      <c r="A1" s="1" t="s">
        <v>12</v>
      </c>
      <c r="B1" s="1"/>
      <c r="C1" s="1" t="s">
        <v>13</v>
      </c>
    </row>
    <row r="2" spans="1:3">
      <c r="A2" s="1" t="s">
        <v>14</v>
      </c>
      <c r="B2" s="1"/>
      <c r="C2" s="1" t="s">
        <v>15</v>
      </c>
    </row>
    <row r="3" spans="1:3">
      <c r="A3" s="1"/>
      <c r="B3" s="1"/>
      <c r="C3" s="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57CB-371C-49CB-BC1F-6039F6FFBF05}">
  <dimension ref="A1:P32"/>
  <sheetViews>
    <sheetView showGridLines="0" tabSelected="1" zoomScaleNormal="100" workbookViewId="0">
      <selection activeCell="C13" sqref="C13"/>
    </sheetView>
  </sheetViews>
  <sheetFormatPr defaultColWidth="9.140625" defaultRowHeight="15"/>
  <cols>
    <col min="1" max="1" width="33.85546875" style="2" customWidth="1"/>
    <col min="2" max="2" width="18.42578125" style="2" customWidth="1"/>
    <col min="3" max="3" width="41.140625" style="2" customWidth="1"/>
    <col min="4" max="4" width="11.85546875" style="2" bestFit="1" customWidth="1"/>
    <col min="5" max="5" width="11.5703125" style="2" bestFit="1" customWidth="1"/>
    <col min="6" max="6" width="12.5703125" style="2" bestFit="1" customWidth="1"/>
    <col min="7" max="7" width="11.85546875" style="2" bestFit="1" customWidth="1"/>
    <col min="8" max="8" width="12.42578125" style="2" bestFit="1" customWidth="1"/>
    <col min="9" max="9" width="12.140625" style="2" bestFit="1" customWidth="1"/>
    <col min="10" max="10" width="11.5703125" style="2" bestFit="1" customWidth="1"/>
    <col min="11" max="11" width="12.140625" style="2" bestFit="1" customWidth="1"/>
    <col min="12" max="12" width="11.5703125" style="2" bestFit="1" customWidth="1"/>
    <col min="13" max="13" width="11.85546875" style="2" bestFit="1" customWidth="1"/>
    <col min="14" max="15" width="12.140625" style="2" bestFit="1" customWidth="1"/>
    <col min="16" max="16" width="14.140625" style="2" customWidth="1"/>
    <col min="17" max="16384" width="9.140625" style="2"/>
  </cols>
  <sheetData>
    <row r="1" spans="1:16" s="5" customFormat="1" ht="24.75" customHeight="1">
      <c r="A1" s="11" t="s">
        <v>17</v>
      </c>
      <c r="B1" s="10"/>
      <c r="C1" s="10"/>
      <c r="D1" s="10"/>
      <c r="E1" s="10"/>
      <c r="F1" s="10"/>
      <c r="G1" s="10"/>
      <c r="H1" s="10"/>
      <c r="I1" s="11"/>
      <c r="J1" s="10"/>
      <c r="K1" s="10"/>
      <c r="L1" s="10"/>
      <c r="M1" s="10"/>
      <c r="N1" s="10"/>
      <c r="O1" s="10"/>
      <c r="P1" s="10"/>
    </row>
    <row r="2" spans="1:16">
      <c r="A2" s="45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3" t="s">
        <v>19</v>
      </c>
      <c r="B3" s="14" t="s">
        <v>20</v>
      </c>
      <c r="C3" s="14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5" t="s">
        <v>32</v>
      </c>
      <c r="O3" s="15" t="s">
        <v>33</v>
      </c>
      <c r="P3" s="16" t="s">
        <v>34</v>
      </c>
    </row>
    <row r="4" spans="1:16">
      <c r="A4" s="17"/>
      <c r="B4" s="18"/>
      <c r="C4" s="1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8">
        <f t="shared" ref="P4:P31" si="0">SUM(D4:O4)</f>
        <v>0</v>
      </c>
    </row>
    <row r="5" spans="1:16">
      <c r="A5" s="17"/>
      <c r="B5" s="18"/>
      <c r="C5" s="1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>
        <f t="shared" si="0"/>
        <v>0</v>
      </c>
    </row>
    <row r="6" spans="1:16">
      <c r="A6" s="17"/>
      <c r="B6" s="18"/>
      <c r="C6" s="1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>
        <f t="shared" si="0"/>
        <v>0</v>
      </c>
    </row>
    <row r="7" spans="1:16">
      <c r="A7" s="17"/>
      <c r="B7" s="18"/>
      <c r="C7" s="1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8">
        <f t="shared" si="0"/>
        <v>0</v>
      </c>
    </row>
    <row r="8" spans="1:16">
      <c r="A8" s="17"/>
      <c r="B8" s="18"/>
      <c r="C8" s="19"/>
      <c r="D8" s="9"/>
      <c r="E8" s="20"/>
      <c r="F8" s="9"/>
      <c r="G8" s="9"/>
      <c r="H8" s="9"/>
      <c r="I8" s="9"/>
      <c r="J8" s="9"/>
      <c r="K8" s="9"/>
      <c r="L8" s="9"/>
      <c r="M8" s="9"/>
      <c r="N8" s="9"/>
      <c r="O8" s="9"/>
      <c r="P8" s="8">
        <f t="shared" si="0"/>
        <v>0</v>
      </c>
    </row>
    <row r="9" spans="1:16">
      <c r="A9" s="17"/>
      <c r="B9" s="18"/>
      <c r="C9" s="1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8">
        <f t="shared" si="0"/>
        <v>0</v>
      </c>
    </row>
    <row r="10" spans="1:16">
      <c r="A10" s="17"/>
      <c r="B10" s="18"/>
      <c r="C10" s="1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8">
        <f t="shared" si="0"/>
        <v>0</v>
      </c>
    </row>
    <row r="11" spans="1:16">
      <c r="A11" s="17"/>
      <c r="B11" s="18"/>
      <c r="C11" s="1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8">
        <f t="shared" si="0"/>
        <v>0</v>
      </c>
    </row>
    <row r="12" spans="1:16">
      <c r="A12" s="17"/>
      <c r="B12" s="18"/>
      <c r="C12" s="1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8">
        <f t="shared" si="0"/>
        <v>0</v>
      </c>
    </row>
    <row r="13" spans="1:16">
      <c r="A13" s="17"/>
      <c r="B13" s="18"/>
      <c r="C13" s="1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8">
        <f t="shared" si="0"/>
        <v>0</v>
      </c>
    </row>
    <row r="14" spans="1:16">
      <c r="A14" s="17"/>
      <c r="B14" s="18"/>
      <c r="C14" s="1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8">
        <f t="shared" si="0"/>
        <v>0</v>
      </c>
    </row>
    <row r="15" spans="1:16">
      <c r="A15" s="17"/>
      <c r="B15" s="18"/>
      <c r="C15" s="1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8">
        <f t="shared" si="0"/>
        <v>0</v>
      </c>
    </row>
    <row r="16" spans="1:16">
      <c r="A16" s="17"/>
      <c r="B16" s="18"/>
      <c r="C16" s="1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8">
        <f t="shared" si="0"/>
        <v>0</v>
      </c>
    </row>
    <row r="17" spans="1:16">
      <c r="A17" s="17"/>
      <c r="B17" s="18"/>
      <c r="C17" s="1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8">
        <f t="shared" si="0"/>
        <v>0</v>
      </c>
    </row>
    <row r="18" spans="1:16">
      <c r="A18" s="17"/>
      <c r="B18" s="18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8">
        <f t="shared" si="0"/>
        <v>0</v>
      </c>
    </row>
    <row r="19" spans="1:16">
      <c r="A19" s="17"/>
      <c r="B19" s="18"/>
      <c r="C19" s="1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8">
        <f t="shared" si="0"/>
        <v>0</v>
      </c>
    </row>
    <row r="20" spans="1:16">
      <c r="A20" s="17"/>
      <c r="B20" s="18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8">
        <f t="shared" si="0"/>
        <v>0</v>
      </c>
    </row>
    <row r="21" spans="1:16">
      <c r="A21" s="17"/>
      <c r="B21" s="18"/>
      <c r="C21" s="1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8">
        <f t="shared" si="0"/>
        <v>0</v>
      </c>
    </row>
    <row r="22" spans="1:16">
      <c r="A22" s="17"/>
      <c r="B22" s="18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>
        <f t="shared" si="0"/>
        <v>0</v>
      </c>
    </row>
    <row r="23" spans="1:16">
      <c r="A23" s="17"/>
      <c r="B23" s="18"/>
      <c r="C23" s="1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8">
        <f t="shared" si="0"/>
        <v>0</v>
      </c>
    </row>
    <row r="24" spans="1:16">
      <c r="A24" s="17"/>
      <c r="B24" s="18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8">
        <f t="shared" si="0"/>
        <v>0</v>
      </c>
    </row>
    <row r="25" spans="1:16">
      <c r="A25" s="17"/>
      <c r="B25" s="18"/>
      <c r="C25" s="1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8">
        <f t="shared" si="0"/>
        <v>0</v>
      </c>
    </row>
    <row r="26" spans="1:16">
      <c r="A26" s="17"/>
      <c r="B26" s="18"/>
      <c r="C26" s="1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8">
        <f t="shared" si="0"/>
        <v>0</v>
      </c>
    </row>
    <row r="27" spans="1:16">
      <c r="A27" s="17"/>
      <c r="B27" s="18"/>
      <c r="C27" s="1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8">
        <f t="shared" si="0"/>
        <v>0</v>
      </c>
    </row>
    <row r="28" spans="1:16">
      <c r="A28" s="17"/>
      <c r="B28" s="18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">
        <f t="shared" si="0"/>
        <v>0</v>
      </c>
    </row>
    <row r="29" spans="1:16">
      <c r="A29" s="17"/>
      <c r="B29" s="18"/>
      <c r="C29" s="1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8">
        <f t="shared" si="0"/>
        <v>0</v>
      </c>
    </row>
    <row r="30" spans="1:16">
      <c r="A30" s="17"/>
      <c r="B30" s="18"/>
      <c r="C30" s="1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8">
        <f t="shared" si="0"/>
        <v>0</v>
      </c>
    </row>
    <row r="31" spans="1:16">
      <c r="A31" s="17"/>
      <c r="B31" s="18"/>
      <c r="C31" s="1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8">
        <f t="shared" si="0"/>
        <v>0</v>
      </c>
    </row>
    <row r="32" spans="1:16" ht="15.75">
      <c r="A32" s="21" t="s">
        <v>34</v>
      </c>
      <c r="B32" s="22"/>
      <c r="C32" s="22"/>
      <c r="D32" s="23">
        <f>SUBTOTAL(9,D4:D31)</f>
        <v>0</v>
      </c>
      <c r="E32" s="23">
        <f t="shared" ref="E32:O32" si="1">SUBTOTAL(9,E4:E31)</f>
        <v>0</v>
      </c>
      <c r="F32" s="23">
        <f t="shared" si="1"/>
        <v>0</v>
      </c>
      <c r="G32" s="23">
        <f t="shared" si="1"/>
        <v>0</v>
      </c>
      <c r="H32" s="23">
        <f t="shared" si="1"/>
        <v>0</v>
      </c>
      <c r="I32" s="23">
        <f t="shared" si="1"/>
        <v>0</v>
      </c>
      <c r="J32" s="23">
        <f t="shared" si="1"/>
        <v>0</v>
      </c>
      <c r="K32" s="23">
        <f t="shared" si="1"/>
        <v>0</v>
      </c>
      <c r="L32" s="23">
        <f t="shared" si="1"/>
        <v>0</v>
      </c>
      <c r="M32" s="23">
        <f t="shared" si="1"/>
        <v>0</v>
      </c>
      <c r="N32" s="23">
        <f t="shared" si="1"/>
        <v>0</v>
      </c>
      <c r="O32" s="23">
        <f t="shared" si="1"/>
        <v>0</v>
      </c>
      <c r="P32" s="24">
        <f>SUM(D32:O32)</f>
        <v>0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F85611-F83A-4A9B-A9C8-8C5E5CA87885}">
          <x14:formula1>
            <xm:f>Planilha2!$A$1:$A$2</xm:f>
          </x14:formula1>
          <xm:sqref>B4:B31</xm:sqref>
        </x14:dataValidation>
        <x14:dataValidation type="list" allowBlank="1" showInputMessage="1" showErrorMessage="1" xr:uid="{2D118A95-C58B-448C-8728-05274E76EF61}">
          <x14:formula1>
            <xm:f>Projetos!$A$5:$A$34</xm:f>
          </x14:formula1>
          <xm:sqref>A4:A31</xm:sqref>
        </x14:dataValidation>
        <x14:dataValidation type="list" allowBlank="1" showInputMessage="1" showErrorMessage="1" xr:uid="{99C903EA-F2A6-4F65-B4C8-8A596F3C1DC3}">
          <x14:formula1>
            <xm:f>'Centro de Custo'!$A$1:$A$158</xm:f>
          </x14:formula1>
          <xm:sqref>A2</xm:sqref>
        </x14:dataValidation>
        <x14:dataValidation type="list" allowBlank="1" showInputMessage="1" showErrorMessage="1" xr:uid="{E780BE1E-D3E0-4135-A7DF-D05F65473595}">
          <x14:formula1>
            <xm:f>'Conta Contábil'!$A$1:$A$69</xm:f>
          </x14:formula1>
          <xm:sqref>C4:C31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K10" sqref="K10"/>
    </sheetView>
  </sheetViews>
  <sheetFormatPr defaultRowHeight="15"/>
  <cols>
    <col min="1" max="1" width="13.85546875" bestFit="1" customWidth="1"/>
  </cols>
  <sheetData>
    <row r="1" spans="1:1">
      <c r="A1" t="s">
        <v>35</v>
      </c>
    </row>
    <row r="2" spans="1:1">
      <c r="A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6788-3E03-4B86-88D4-F31D9FE68588}">
  <dimension ref="A1:A159"/>
  <sheetViews>
    <sheetView topLeftCell="A139" workbookViewId="0">
      <selection activeCell="A2" sqref="A2:A159"/>
    </sheetView>
  </sheetViews>
  <sheetFormatPr defaultRowHeight="15"/>
  <cols>
    <col min="1" max="1" width="65" customWidth="1"/>
    <col min="2" max="2" width="8" customWidth="1"/>
    <col min="3" max="3" width="27.28515625" customWidth="1"/>
  </cols>
  <sheetData>
    <row r="1" spans="1:1">
      <c r="A1" s="3" t="s">
        <v>18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49</v>
      </c>
    </row>
    <row r="15" spans="1:1">
      <c r="A15" t="s">
        <v>50</v>
      </c>
    </row>
    <row r="16" spans="1:1">
      <c r="A16" t="s">
        <v>51</v>
      </c>
    </row>
    <row r="17" spans="1:1">
      <c r="A17" t="s">
        <v>52</v>
      </c>
    </row>
    <row r="18" spans="1:1">
      <c r="A18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3" spans="1:1">
      <c r="A23" t="s">
        <v>58</v>
      </c>
    </row>
    <row r="24" spans="1:1">
      <c r="A24" t="s">
        <v>59</v>
      </c>
    </row>
    <row r="25" spans="1:1">
      <c r="A25" t="s">
        <v>60</v>
      </c>
    </row>
    <row r="26" spans="1:1">
      <c r="A26" t="s">
        <v>61</v>
      </c>
    </row>
    <row r="27" spans="1:1">
      <c r="A27" t="s">
        <v>62</v>
      </c>
    </row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  <row r="34" spans="1:1">
      <c r="A34" t="s">
        <v>69</v>
      </c>
    </row>
    <row r="35" spans="1:1">
      <c r="A35" t="s">
        <v>70</v>
      </c>
    </row>
    <row r="36" spans="1:1">
      <c r="A36" t="s">
        <v>71</v>
      </c>
    </row>
    <row r="37" spans="1:1">
      <c r="A37" t="s">
        <v>72</v>
      </c>
    </row>
    <row r="38" spans="1:1">
      <c r="A38" t="s">
        <v>73</v>
      </c>
    </row>
    <row r="39" spans="1:1">
      <c r="A39" t="s">
        <v>74</v>
      </c>
    </row>
    <row r="40" spans="1:1">
      <c r="A40" t="s">
        <v>75</v>
      </c>
    </row>
    <row r="41" spans="1:1">
      <c r="A41" t="s">
        <v>76</v>
      </c>
    </row>
    <row r="42" spans="1:1">
      <c r="A42" t="s">
        <v>77</v>
      </c>
    </row>
    <row r="43" spans="1:1">
      <c r="A43" t="s">
        <v>78</v>
      </c>
    </row>
    <row r="44" spans="1:1">
      <c r="A44" t="s">
        <v>79</v>
      </c>
    </row>
    <row r="45" spans="1:1">
      <c r="A45" t="s">
        <v>80</v>
      </c>
    </row>
    <row r="46" spans="1:1">
      <c r="A46" t="s">
        <v>81</v>
      </c>
    </row>
    <row r="47" spans="1:1">
      <c r="A47" t="s">
        <v>82</v>
      </c>
    </row>
    <row r="48" spans="1:1">
      <c r="A48" t="s">
        <v>83</v>
      </c>
    </row>
    <row r="49" spans="1:1">
      <c r="A49" t="s">
        <v>84</v>
      </c>
    </row>
    <row r="50" spans="1:1">
      <c r="A50" t="s">
        <v>85</v>
      </c>
    </row>
    <row r="51" spans="1:1">
      <c r="A51" t="s">
        <v>86</v>
      </c>
    </row>
    <row r="52" spans="1:1">
      <c r="A52" t="s">
        <v>87</v>
      </c>
    </row>
    <row r="53" spans="1:1">
      <c r="A53" t="s">
        <v>88</v>
      </c>
    </row>
    <row r="54" spans="1:1">
      <c r="A54" t="s">
        <v>89</v>
      </c>
    </row>
    <row r="55" spans="1:1">
      <c r="A55" t="s">
        <v>90</v>
      </c>
    </row>
    <row r="56" spans="1:1">
      <c r="A56" t="s">
        <v>91</v>
      </c>
    </row>
    <row r="57" spans="1:1">
      <c r="A57" t="s">
        <v>92</v>
      </c>
    </row>
    <row r="58" spans="1:1">
      <c r="A58" t="s">
        <v>93</v>
      </c>
    </row>
    <row r="59" spans="1:1">
      <c r="A59" t="s">
        <v>94</v>
      </c>
    </row>
    <row r="60" spans="1:1">
      <c r="A60" t="s">
        <v>95</v>
      </c>
    </row>
    <row r="61" spans="1:1">
      <c r="A61" t="s">
        <v>96</v>
      </c>
    </row>
    <row r="62" spans="1:1">
      <c r="A62" t="s">
        <v>97</v>
      </c>
    </row>
    <row r="63" spans="1:1">
      <c r="A63" t="s">
        <v>98</v>
      </c>
    </row>
    <row r="64" spans="1:1">
      <c r="A64" t="s">
        <v>99</v>
      </c>
    </row>
    <row r="65" spans="1:1">
      <c r="A65" t="s">
        <v>100</v>
      </c>
    </row>
    <row r="66" spans="1:1">
      <c r="A66" t="s">
        <v>101</v>
      </c>
    </row>
    <row r="67" spans="1:1">
      <c r="A67" t="s">
        <v>102</v>
      </c>
    </row>
    <row r="68" spans="1:1">
      <c r="A68" t="s">
        <v>103</v>
      </c>
    </row>
    <row r="69" spans="1:1">
      <c r="A69" t="s">
        <v>104</v>
      </c>
    </row>
    <row r="70" spans="1:1">
      <c r="A70" t="s">
        <v>105</v>
      </c>
    </row>
    <row r="71" spans="1:1">
      <c r="A71" t="s">
        <v>106</v>
      </c>
    </row>
    <row r="72" spans="1:1">
      <c r="A72" t="s">
        <v>107</v>
      </c>
    </row>
    <row r="73" spans="1:1">
      <c r="A73" t="s">
        <v>108</v>
      </c>
    </row>
    <row r="74" spans="1:1">
      <c r="A74" t="s">
        <v>109</v>
      </c>
    </row>
    <row r="75" spans="1:1">
      <c r="A75" t="s">
        <v>110</v>
      </c>
    </row>
    <row r="76" spans="1:1">
      <c r="A76" t="s">
        <v>111</v>
      </c>
    </row>
    <row r="77" spans="1:1">
      <c r="A77" t="s">
        <v>112</v>
      </c>
    </row>
    <row r="78" spans="1:1">
      <c r="A78" t="s">
        <v>113</v>
      </c>
    </row>
    <row r="79" spans="1:1">
      <c r="A79" t="s">
        <v>114</v>
      </c>
    </row>
    <row r="80" spans="1:1">
      <c r="A80" t="s">
        <v>115</v>
      </c>
    </row>
    <row r="81" spans="1:1">
      <c r="A81" t="s">
        <v>116</v>
      </c>
    </row>
    <row r="82" spans="1:1">
      <c r="A82" t="s">
        <v>117</v>
      </c>
    </row>
    <row r="83" spans="1:1">
      <c r="A83" t="s">
        <v>118</v>
      </c>
    </row>
    <row r="84" spans="1:1">
      <c r="A84" t="s">
        <v>119</v>
      </c>
    </row>
    <row r="85" spans="1:1">
      <c r="A85" t="s">
        <v>120</v>
      </c>
    </row>
    <row r="86" spans="1:1">
      <c r="A86" t="s">
        <v>121</v>
      </c>
    </row>
    <row r="87" spans="1:1">
      <c r="A87" t="s">
        <v>122</v>
      </c>
    </row>
    <row r="88" spans="1:1">
      <c r="A88" t="s">
        <v>123</v>
      </c>
    </row>
    <row r="89" spans="1:1">
      <c r="A89" t="s">
        <v>124</v>
      </c>
    </row>
    <row r="90" spans="1:1">
      <c r="A90" t="s">
        <v>125</v>
      </c>
    </row>
    <row r="91" spans="1:1">
      <c r="A91" t="s">
        <v>126</v>
      </c>
    </row>
    <row r="92" spans="1:1">
      <c r="A92" t="s">
        <v>127</v>
      </c>
    </row>
    <row r="93" spans="1:1">
      <c r="A93" t="s">
        <v>128</v>
      </c>
    </row>
    <row r="94" spans="1:1">
      <c r="A94" t="s">
        <v>129</v>
      </c>
    </row>
    <row r="95" spans="1:1">
      <c r="A95" t="s">
        <v>130</v>
      </c>
    </row>
    <row r="96" spans="1:1">
      <c r="A96" t="s">
        <v>131</v>
      </c>
    </row>
    <row r="97" spans="1:1">
      <c r="A97" t="s">
        <v>132</v>
      </c>
    </row>
    <row r="98" spans="1:1">
      <c r="A98" t="s">
        <v>133</v>
      </c>
    </row>
    <row r="99" spans="1:1">
      <c r="A99" t="s">
        <v>134</v>
      </c>
    </row>
    <row r="100" spans="1:1">
      <c r="A100" t="s">
        <v>135</v>
      </c>
    </row>
    <row r="101" spans="1:1">
      <c r="A101" t="s">
        <v>136</v>
      </c>
    </row>
    <row r="102" spans="1:1">
      <c r="A102" t="s">
        <v>137</v>
      </c>
    </row>
    <row r="103" spans="1:1">
      <c r="A103" t="s">
        <v>138</v>
      </c>
    </row>
    <row r="104" spans="1:1">
      <c r="A104" t="s">
        <v>139</v>
      </c>
    </row>
    <row r="105" spans="1:1">
      <c r="A105" t="s">
        <v>140</v>
      </c>
    </row>
    <row r="106" spans="1:1">
      <c r="A106" t="s">
        <v>141</v>
      </c>
    </row>
    <row r="107" spans="1:1">
      <c r="A107" t="s">
        <v>142</v>
      </c>
    </row>
    <row r="108" spans="1:1">
      <c r="A108" t="s">
        <v>143</v>
      </c>
    </row>
    <row r="109" spans="1:1">
      <c r="A109" t="s">
        <v>144</v>
      </c>
    </row>
    <row r="110" spans="1:1">
      <c r="A110" t="s">
        <v>145</v>
      </c>
    </row>
    <row r="111" spans="1:1">
      <c r="A111" t="s">
        <v>146</v>
      </c>
    </row>
    <row r="112" spans="1:1">
      <c r="A112" t="s">
        <v>147</v>
      </c>
    </row>
    <row r="113" spans="1:1">
      <c r="A113" t="s">
        <v>148</v>
      </c>
    </row>
    <row r="114" spans="1:1">
      <c r="A114" t="s">
        <v>149</v>
      </c>
    </row>
    <row r="115" spans="1:1">
      <c r="A115" t="s">
        <v>150</v>
      </c>
    </row>
    <row r="116" spans="1:1">
      <c r="A116" t="s">
        <v>151</v>
      </c>
    </row>
    <row r="117" spans="1:1">
      <c r="A117" t="s">
        <v>152</v>
      </c>
    </row>
    <row r="118" spans="1:1">
      <c r="A118" t="s">
        <v>153</v>
      </c>
    </row>
    <row r="119" spans="1:1">
      <c r="A119" t="s">
        <v>154</v>
      </c>
    </row>
    <row r="120" spans="1:1">
      <c r="A120" t="s">
        <v>155</v>
      </c>
    </row>
    <row r="121" spans="1:1">
      <c r="A121" t="s">
        <v>156</v>
      </c>
    </row>
    <row r="122" spans="1:1">
      <c r="A122" t="s">
        <v>157</v>
      </c>
    </row>
    <row r="123" spans="1:1">
      <c r="A123" t="s">
        <v>158</v>
      </c>
    </row>
    <row r="124" spans="1:1">
      <c r="A124" t="s">
        <v>159</v>
      </c>
    </row>
    <row r="125" spans="1:1">
      <c r="A125" t="s">
        <v>160</v>
      </c>
    </row>
    <row r="126" spans="1:1">
      <c r="A126" t="s">
        <v>161</v>
      </c>
    </row>
    <row r="127" spans="1:1">
      <c r="A127" t="s">
        <v>162</v>
      </c>
    </row>
    <row r="128" spans="1:1">
      <c r="A128" t="s">
        <v>163</v>
      </c>
    </row>
    <row r="129" spans="1:1">
      <c r="A129" t="s">
        <v>164</v>
      </c>
    </row>
    <row r="130" spans="1:1">
      <c r="A130" t="s">
        <v>165</v>
      </c>
    </row>
    <row r="131" spans="1:1">
      <c r="A131" t="s">
        <v>166</v>
      </c>
    </row>
    <row r="132" spans="1:1">
      <c r="A132" t="s">
        <v>167</v>
      </c>
    </row>
    <row r="133" spans="1:1">
      <c r="A133" t="s">
        <v>168</v>
      </c>
    </row>
    <row r="134" spans="1:1">
      <c r="A134" t="s">
        <v>169</v>
      </c>
    </row>
    <row r="135" spans="1:1">
      <c r="A135" t="s">
        <v>170</v>
      </c>
    </row>
    <row r="136" spans="1:1">
      <c r="A136" t="s">
        <v>171</v>
      </c>
    </row>
    <row r="137" spans="1:1">
      <c r="A137" t="s">
        <v>172</v>
      </c>
    </row>
    <row r="138" spans="1:1">
      <c r="A138" t="s">
        <v>173</v>
      </c>
    </row>
    <row r="139" spans="1:1">
      <c r="A139" t="s">
        <v>174</v>
      </c>
    </row>
    <row r="140" spans="1:1">
      <c r="A140" t="s">
        <v>175</v>
      </c>
    </row>
    <row r="141" spans="1:1">
      <c r="A141" t="s">
        <v>176</v>
      </c>
    </row>
    <row r="142" spans="1:1">
      <c r="A142" t="s">
        <v>177</v>
      </c>
    </row>
    <row r="143" spans="1:1">
      <c r="A143" t="s">
        <v>178</v>
      </c>
    </row>
    <row r="144" spans="1:1">
      <c r="A144" t="s">
        <v>179</v>
      </c>
    </row>
    <row r="145" spans="1:1">
      <c r="A145" t="s">
        <v>180</v>
      </c>
    </row>
    <row r="146" spans="1:1">
      <c r="A146" t="s">
        <v>181</v>
      </c>
    </row>
    <row r="147" spans="1:1">
      <c r="A147" t="s">
        <v>182</v>
      </c>
    </row>
    <row r="148" spans="1:1">
      <c r="A148" t="s">
        <v>183</v>
      </c>
    </row>
    <row r="149" spans="1:1">
      <c r="A149" t="s">
        <v>184</v>
      </c>
    </row>
    <row r="150" spans="1:1">
      <c r="A150" t="s">
        <v>185</v>
      </c>
    </row>
    <row r="151" spans="1:1">
      <c r="A151" t="s">
        <v>186</v>
      </c>
    </row>
    <row r="152" spans="1:1">
      <c r="A152" t="s">
        <v>187</v>
      </c>
    </row>
    <row r="153" spans="1:1">
      <c r="A153" t="s">
        <v>188</v>
      </c>
    </row>
    <row r="154" spans="1:1">
      <c r="A154" t="s">
        <v>189</v>
      </c>
    </row>
    <row r="155" spans="1:1">
      <c r="A155" t="s">
        <v>190</v>
      </c>
    </row>
    <row r="156" spans="1:1">
      <c r="A156" t="s">
        <v>191</v>
      </c>
    </row>
    <row r="157" spans="1:1">
      <c r="A157" t="s">
        <v>192</v>
      </c>
    </row>
    <row r="158" spans="1:1">
      <c r="A158" t="s">
        <v>193</v>
      </c>
    </row>
    <row r="159" spans="1:1">
      <c r="A159" t="s">
        <v>188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9"/>
  <sheetViews>
    <sheetView topLeftCell="A18" workbookViewId="0">
      <selection activeCell="D78" sqref="D78"/>
    </sheetView>
  </sheetViews>
  <sheetFormatPr defaultRowHeight="15"/>
  <cols>
    <col min="1" max="1" width="51.42578125" style="4" bestFit="1" customWidth="1"/>
    <col min="2" max="3" width="9.140625" style="4"/>
  </cols>
  <sheetData>
    <row r="1" spans="1:1">
      <c r="A1" s="4" t="s">
        <v>194</v>
      </c>
    </row>
    <row r="2" spans="1:1">
      <c r="A2" s="4" t="s">
        <v>195</v>
      </c>
    </row>
    <row r="3" spans="1:1">
      <c r="A3" s="4" t="s">
        <v>196</v>
      </c>
    </row>
    <row r="4" spans="1:1">
      <c r="A4" s="4" t="s">
        <v>197</v>
      </c>
    </row>
    <row r="5" spans="1:1">
      <c r="A5" s="4" t="s">
        <v>198</v>
      </c>
    </row>
    <row r="6" spans="1:1">
      <c r="A6" s="4" t="s">
        <v>199</v>
      </c>
    </row>
    <row r="7" spans="1:1">
      <c r="A7" s="4" t="s">
        <v>200</v>
      </c>
    </row>
    <row r="8" spans="1:1">
      <c r="A8" s="4" t="s">
        <v>201</v>
      </c>
    </row>
    <row r="9" spans="1:1">
      <c r="A9" s="4" t="s">
        <v>202</v>
      </c>
    </row>
    <row r="10" spans="1:1">
      <c r="A10" s="4" t="s">
        <v>203</v>
      </c>
    </row>
    <row r="11" spans="1:1">
      <c r="A11" s="4" t="s">
        <v>204</v>
      </c>
    </row>
    <row r="12" spans="1:1">
      <c r="A12" s="4" t="s">
        <v>205</v>
      </c>
    </row>
    <row r="13" spans="1:1">
      <c r="A13" s="4" t="s">
        <v>206</v>
      </c>
    </row>
    <row r="14" spans="1:1">
      <c r="A14" s="4" t="s">
        <v>207</v>
      </c>
    </row>
    <row r="15" spans="1:1">
      <c r="A15" s="4" t="s">
        <v>208</v>
      </c>
    </row>
    <row r="16" spans="1:1">
      <c r="A16" s="4" t="s">
        <v>209</v>
      </c>
    </row>
    <row r="17" spans="1:1">
      <c r="A17" s="4" t="s">
        <v>210</v>
      </c>
    </row>
    <row r="18" spans="1:1">
      <c r="A18" s="4" t="s">
        <v>211</v>
      </c>
    </row>
    <row r="19" spans="1:1">
      <c r="A19" s="4" t="s">
        <v>212</v>
      </c>
    </row>
    <row r="20" spans="1:1">
      <c r="A20" s="4" t="s">
        <v>213</v>
      </c>
    </row>
    <row r="21" spans="1:1">
      <c r="A21" s="4" t="s">
        <v>214</v>
      </c>
    </row>
    <row r="22" spans="1:1">
      <c r="A22" s="4" t="s">
        <v>215</v>
      </c>
    </row>
    <row r="23" spans="1:1">
      <c r="A23" s="4" t="s">
        <v>216</v>
      </c>
    </row>
    <row r="24" spans="1:1">
      <c r="A24" s="4" t="s">
        <v>217</v>
      </c>
    </row>
    <row r="25" spans="1:1">
      <c r="A25" s="4" t="s">
        <v>218</v>
      </c>
    </row>
    <row r="26" spans="1:1">
      <c r="A26" s="4" t="s">
        <v>219</v>
      </c>
    </row>
    <row r="27" spans="1:1">
      <c r="A27" s="4" t="s">
        <v>220</v>
      </c>
    </row>
    <row r="28" spans="1:1">
      <c r="A28" s="4" t="s">
        <v>221</v>
      </c>
    </row>
    <row r="29" spans="1:1">
      <c r="A29" s="4" t="s">
        <v>222</v>
      </c>
    </row>
    <row r="30" spans="1:1">
      <c r="A30" s="4" t="s">
        <v>223</v>
      </c>
    </row>
    <row r="31" spans="1:1">
      <c r="A31" s="4" t="s">
        <v>224</v>
      </c>
    </row>
    <row r="32" spans="1:1">
      <c r="A32" s="4" t="s">
        <v>225</v>
      </c>
    </row>
    <row r="33" spans="1:1">
      <c r="A33" s="4" t="s">
        <v>226</v>
      </c>
    </row>
    <row r="34" spans="1:1">
      <c r="A34" s="4" t="s">
        <v>227</v>
      </c>
    </row>
    <row r="35" spans="1:1">
      <c r="A35" s="4" t="s">
        <v>228</v>
      </c>
    </row>
    <row r="36" spans="1:1">
      <c r="A36" s="4" t="s">
        <v>229</v>
      </c>
    </row>
    <row r="37" spans="1:1">
      <c r="A37" s="4" t="s">
        <v>230</v>
      </c>
    </row>
    <row r="38" spans="1:1">
      <c r="A38" s="4" t="s">
        <v>231</v>
      </c>
    </row>
    <row r="39" spans="1:1">
      <c r="A39" s="4" t="s">
        <v>232</v>
      </c>
    </row>
    <row r="40" spans="1:1">
      <c r="A40" s="4" t="s">
        <v>233</v>
      </c>
    </row>
    <row r="41" spans="1:1">
      <c r="A41" s="4" t="s">
        <v>234</v>
      </c>
    </row>
    <row r="42" spans="1:1">
      <c r="A42" s="4" t="s">
        <v>235</v>
      </c>
    </row>
    <row r="43" spans="1:1">
      <c r="A43" s="4" t="s">
        <v>236</v>
      </c>
    </row>
    <row r="44" spans="1:1">
      <c r="A44" s="4" t="s">
        <v>237</v>
      </c>
    </row>
    <row r="45" spans="1:1">
      <c r="A45" s="4" t="s">
        <v>238</v>
      </c>
    </row>
    <row r="46" spans="1:1">
      <c r="A46" s="4" t="s">
        <v>239</v>
      </c>
    </row>
    <row r="47" spans="1:1">
      <c r="A47" s="4" t="s">
        <v>240</v>
      </c>
    </row>
    <row r="48" spans="1:1">
      <c r="A48" s="4" t="s">
        <v>241</v>
      </c>
    </row>
    <row r="49" spans="1:1">
      <c r="A49" s="4" t="s">
        <v>242</v>
      </c>
    </row>
    <row r="50" spans="1:1">
      <c r="A50" s="4" t="s">
        <v>243</v>
      </c>
    </row>
    <row r="51" spans="1:1">
      <c r="A51" s="4" t="s">
        <v>244</v>
      </c>
    </row>
    <row r="52" spans="1:1">
      <c r="A52" s="4" t="s">
        <v>245</v>
      </c>
    </row>
    <row r="53" spans="1:1">
      <c r="A53" s="4" t="s">
        <v>246</v>
      </c>
    </row>
    <row r="54" spans="1:1">
      <c r="A54" s="4" t="s">
        <v>247</v>
      </c>
    </row>
    <row r="55" spans="1:1">
      <c r="A55" s="4" t="s">
        <v>248</v>
      </c>
    </row>
    <row r="56" spans="1:1">
      <c r="A56" s="4" t="s">
        <v>249</v>
      </c>
    </row>
    <row r="57" spans="1:1">
      <c r="A57" s="4" t="s">
        <v>250</v>
      </c>
    </row>
    <row r="58" spans="1:1">
      <c r="A58" s="4" t="s">
        <v>251</v>
      </c>
    </row>
    <row r="59" spans="1:1">
      <c r="A59" s="4" t="s">
        <v>252</v>
      </c>
    </row>
    <row r="60" spans="1:1">
      <c r="A60" s="4" t="s">
        <v>253</v>
      </c>
    </row>
    <row r="61" spans="1:1">
      <c r="A61" s="4" t="s">
        <v>254</v>
      </c>
    </row>
    <row r="62" spans="1:1">
      <c r="A62" s="4" t="s">
        <v>255</v>
      </c>
    </row>
    <row r="63" spans="1:1">
      <c r="A63" s="4" t="s">
        <v>256</v>
      </c>
    </row>
    <row r="64" spans="1:1">
      <c r="A64" s="4" t="s">
        <v>257</v>
      </c>
    </row>
    <row r="65" spans="1:1">
      <c r="A65" s="4" t="s">
        <v>258</v>
      </c>
    </row>
    <row r="66" spans="1:1">
      <c r="A66" s="4" t="s">
        <v>259</v>
      </c>
    </row>
    <row r="67" spans="1:1">
      <c r="A67" s="4" t="s">
        <v>260</v>
      </c>
    </row>
    <row r="68" spans="1:1">
      <c r="A68" s="4" t="s">
        <v>261</v>
      </c>
    </row>
    <row r="69" spans="1:1">
      <c r="A69" s="4" t="s">
        <v>262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5D8BC7790C246A4CD937E088BB0AE" ma:contentTypeVersion="3" ma:contentTypeDescription="Crie um novo documento." ma:contentTypeScope="" ma:versionID="96512a05581fe4c33efc1e37aa6c3539">
  <xsd:schema xmlns:xsd="http://www.w3.org/2001/XMLSchema" xmlns:xs="http://www.w3.org/2001/XMLSchema" xmlns:p="http://schemas.microsoft.com/office/2006/metadata/properties" xmlns:ns2="fbfa8da2-ff5f-4328-94b3-19f51ce0b94f" targetNamespace="http://schemas.microsoft.com/office/2006/metadata/properties" ma:root="true" ma:fieldsID="c74f508913a9cbcf0b2fc1b71ab174e7" ns2:_="">
    <xsd:import namespace="fbfa8da2-ff5f-4328-94b3-19f51ce0b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a8da2-ff5f-4328-94b3-19f51ce0b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5F437A-9C7F-45D3-97FE-A33DF2F16D89}"/>
</file>

<file path=customXml/itemProps2.xml><?xml version="1.0" encoding="utf-8"?>
<ds:datastoreItem xmlns:ds="http://schemas.openxmlformats.org/officeDocument/2006/customXml" ds:itemID="{EC036606-E3D3-46F6-B42C-E6BDA0FE486A}"/>
</file>

<file path=customXml/itemProps3.xml><?xml version="1.0" encoding="utf-8"?>
<ds:datastoreItem xmlns:ds="http://schemas.openxmlformats.org/officeDocument/2006/customXml" ds:itemID="{712D2437-F676-42E3-969C-F6A6248BD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DE MELO SILVA</dc:creator>
  <cp:keywords/>
  <dc:description/>
  <cp:lastModifiedBy>MATEUS CITRINITI EMILIO</cp:lastModifiedBy>
  <cp:revision/>
  <dcterms:created xsi:type="dcterms:W3CDTF">2021-08-05T12:55:46Z</dcterms:created>
  <dcterms:modified xsi:type="dcterms:W3CDTF">2025-10-15T19:22:49Z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0x010100F8C5D8BC7790C246A4CD937E088BB0AE</vt:lpwstr>
  </property>
  <property fmtid="{D5CDD505-2E9C-101B-9397-08002B2CF9AE}" pid="3" name="MediaServiceImageTags">
    <vt:lpwstr/>
  </property>
</Properties>
</file>